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80" yWindow="80" windowWidth="15300" windowHeight="7340" activeTab="1"/>
  </bookViews>
  <sheets>
    <sheet name="REGISTRO" sheetId="1" r:id="rId1"/>
    <sheet name="BASE DE DATOS" sheetId="2" r:id="rId2"/>
    <sheet name="BUSCAR" sheetId="3" r:id="rId3"/>
  </sheets>
  <calcPr calcId="145621"/>
</workbook>
</file>

<file path=xl/calcChain.xml><?xml version="1.0" encoding="utf-8"?>
<calcChain xmlns="http://schemas.openxmlformats.org/spreadsheetml/2006/main">
  <c r="F2" i="3" l="1"/>
  <c r="E2" i="3"/>
  <c r="D2" i="3"/>
  <c r="C2" i="3"/>
  <c r="B2" i="3"/>
  <c r="A2" i="3"/>
</calcChain>
</file>

<file path=xl/sharedStrings.xml><?xml version="1.0" encoding="utf-8"?>
<sst xmlns="http://schemas.openxmlformats.org/spreadsheetml/2006/main" count="100" uniqueCount="87">
  <si>
    <t>Registro de clientes</t>
  </si>
  <si>
    <t>CC/NIT</t>
  </si>
  <si>
    <t>DIRECCION</t>
  </si>
  <si>
    <t>TELEFONO</t>
  </si>
  <si>
    <t>NOMBRE COMPLETO</t>
  </si>
  <si>
    <t>CIUDAD</t>
  </si>
  <si>
    <t>CORREO ELECTRONICO</t>
  </si>
  <si>
    <t>BASE DE DATOS</t>
  </si>
  <si>
    <t>CALLE 11 #12</t>
  </si>
  <si>
    <t>BOGOTA</t>
  </si>
  <si>
    <t>SERGIO ALVAREZ</t>
  </si>
  <si>
    <t>SERGIO@GMAIL.COM</t>
  </si>
  <si>
    <t>CALLE 10 #11</t>
  </si>
  <si>
    <t>YAMIT RODRIGUEZ</t>
  </si>
  <si>
    <t>BARRANQUILLA</t>
  </si>
  <si>
    <t>YRODRIGUEZ</t>
  </si>
  <si>
    <t>ADAM LEVING</t>
  </si>
  <si>
    <t>CATALUNA</t>
  </si>
  <si>
    <t>ADLEVI@GMAIL.COM</t>
  </si>
  <si>
    <t>CALLE 20 #35</t>
  </si>
  <si>
    <t>CALLE 9 #15</t>
  </si>
  <si>
    <t>CARMEN VILLALOBOS</t>
  </si>
  <si>
    <t>MICHIGAN</t>
  </si>
  <si>
    <t>CARVI@GMAIL.COM</t>
  </si>
  <si>
    <t>FELIPE ANGELES</t>
  </si>
  <si>
    <t>CATAMARA</t>
  </si>
  <si>
    <t>FEANG@GMAIL.COM</t>
  </si>
  <si>
    <t>CALLE 23 #15</t>
  </si>
  <si>
    <t>CALLE 23 #8</t>
  </si>
  <si>
    <t>RENE APARICIO</t>
  </si>
  <si>
    <t>CALI</t>
  </si>
  <si>
    <t>REAP@GMAIL.COM</t>
  </si>
  <si>
    <t>CALLE 4 #3</t>
  </si>
  <si>
    <t>GALILEA MONTIJO</t>
  </si>
  <si>
    <t>BERMUDAS</t>
  </si>
  <si>
    <t>GALIMON@GMAIL.COM</t>
  </si>
  <si>
    <t>CALLE 9 #2</t>
  </si>
  <si>
    <t>HERNAN HERRERA</t>
  </si>
  <si>
    <t>GALTA</t>
  </si>
  <si>
    <t>HERHER@GMAIL.COM</t>
  </si>
  <si>
    <t>CALLE 1 #25</t>
  </si>
  <si>
    <t>NARLA ARREDONDO</t>
  </si>
  <si>
    <t>QUERETARO</t>
  </si>
  <si>
    <t>NAARA@GMAIL.COM</t>
  </si>
  <si>
    <t>CALLE 2 #53</t>
  </si>
  <si>
    <t>CATARATAS</t>
  </si>
  <si>
    <t>SELENA GOMEZ</t>
  </si>
  <si>
    <t>SELGOM@GMAIL.COM</t>
  </si>
  <si>
    <t>CALLE 12 #67</t>
  </si>
  <si>
    <t>CARLOS ESPEJEL</t>
  </si>
  <si>
    <t>CARLES@GMAIL.COM</t>
  </si>
  <si>
    <t>CHIHUAHUA</t>
  </si>
  <si>
    <t>CALLE 22 #3</t>
  </si>
  <si>
    <t>ROBERTO GOMEZ</t>
  </si>
  <si>
    <t>SONORA</t>
  </si>
  <si>
    <t>ROBERTGO@GMAIL.COM</t>
  </si>
  <si>
    <t>ANDREA LLAMAS</t>
  </si>
  <si>
    <t>ZACATECAS</t>
  </si>
  <si>
    <t>ANDYLLA@GMAIL.COM</t>
  </si>
  <si>
    <t>CALLE 4 #9</t>
  </si>
  <si>
    <t>PAOLA DURAN</t>
  </si>
  <si>
    <t>PAUDU@GMAIL.COM</t>
  </si>
  <si>
    <t>GUANAJUATO</t>
  </si>
  <si>
    <t>CALLE 13 #3</t>
  </si>
  <si>
    <t>FERNANDO JULIOS</t>
  </si>
  <si>
    <t>FERJU@GMAIL.COM</t>
  </si>
  <si>
    <t>SAN LUIS</t>
  </si>
  <si>
    <t>CALLE 12 #7</t>
  </si>
  <si>
    <t>KAREN ORTIZ</t>
  </si>
  <si>
    <t>KAROR@GMAIL.COM</t>
  </si>
  <si>
    <t>COLIMA</t>
  </si>
  <si>
    <t>LUISA HULU</t>
  </si>
  <si>
    <t>LUHU@GMAIL.COM</t>
  </si>
  <si>
    <t>LOS CABOS</t>
  </si>
  <si>
    <t>CALLE 12 #38</t>
  </si>
  <si>
    <t>NORA OROZCO</t>
  </si>
  <si>
    <t>NORO@GMAIL.COM</t>
  </si>
  <si>
    <t>IRAPUATO</t>
  </si>
  <si>
    <t>CALLE 6 #91</t>
  </si>
  <si>
    <t xml:space="preserve">LORENA PERALTA </t>
  </si>
  <si>
    <t>JALISCO</t>
  </si>
  <si>
    <t>LORPE@GMAIL.COM</t>
  </si>
  <si>
    <t>CALLE 10 #1</t>
  </si>
  <si>
    <t>CALLE 4 #25</t>
  </si>
  <si>
    <t>SANTIAGO DORANTES</t>
  </si>
  <si>
    <t>SANTYDO@GMAIL.COM</t>
  </si>
  <si>
    <t>CULIACAN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</si>
</sst>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4" fillId="0" borderId="1" xfId="1" applyBorder="1"/>
    <xf numFmtId="0" fontId="0" fillId="0" borderId="1" xfId="0" applyBorder="1"/>
    <xf numFmtId="0" fontId="5" fillId="0" borderId="0" xfId="0" applyFont="1"/>
    <xf numFmtId="0" fontId="0" fillId="0" borderId="0" xfId="0" applyFont="1"/>
    <xf numFmtId="0" fontId="2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755650</xdr:colOff>
      <xdr:row>0</xdr:row>
      <xdr:rowOff>76200</xdr:rowOff>
    </xdr:from>
    <xdr:to>
      <xdr:col>12</xdr:col>
      <xdr:colOff>31750</xdr:colOff>
      <xdr:row>4</xdr:row>
      <xdr:rowOff>82550</xdr:rowOff>
    </xdr:to>
    <xdr:sp macro="[0]!IRBASE" textlink="">
      <xdr:nvSpPr>
        <xdr:cNvPr id="2" name="1 Bisel"/>
        <xdr:cNvSpPr/>
      </xdr:nvSpPr>
      <xdr:spPr>
        <a:xfrm>
          <a:off x="10655300" y="76200"/>
          <a:ext cx="1562100" cy="74295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tx1"/>
              </a:solidFill>
            </a:rPr>
            <a:t>IR A BASE DE DATOS</a:t>
          </a:r>
        </a:p>
      </xdr:txBody>
    </xdr:sp>
    <xdr:clientData/>
  </xdr:twoCellAnchor>
  <xdr:twoCellAnchor>
    <xdr:from>
      <xdr:col>2</xdr:col>
      <xdr:colOff>0</xdr:colOff>
      <xdr:row>15</xdr:row>
      <xdr:rowOff>0</xdr:rowOff>
    </xdr:from>
    <xdr:to>
      <xdr:col>3</xdr:col>
      <xdr:colOff>25400</xdr:colOff>
      <xdr:row>19</xdr:row>
      <xdr:rowOff>6350</xdr:rowOff>
    </xdr:to>
    <xdr:sp macro="[0]!NUEVO" textlink="">
      <xdr:nvSpPr>
        <xdr:cNvPr id="3" name="2 Bisel"/>
        <xdr:cNvSpPr/>
      </xdr:nvSpPr>
      <xdr:spPr>
        <a:xfrm>
          <a:off x="1524000" y="2762250"/>
          <a:ext cx="1562100" cy="74295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200" b="1">
              <a:solidFill>
                <a:schemeClr val="tx1"/>
              </a:solidFill>
            </a:rPr>
            <a:t>NUEVO</a:t>
          </a:r>
        </a:p>
      </xdr:txBody>
    </xdr:sp>
    <xdr:clientData/>
  </xdr:twoCellAnchor>
  <xdr:twoCellAnchor>
    <xdr:from>
      <xdr:col>3</xdr:col>
      <xdr:colOff>1174750</xdr:colOff>
      <xdr:row>15</xdr:row>
      <xdr:rowOff>12700</xdr:rowOff>
    </xdr:from>
    <xdr:to>
      <xdr:col>5</xdr:col>
      <xdr:colOff>450850</xdr:colOff>
      <xdr:row>19</xdr:row>
      <xdr:rowOff>19050</xdr:rowOff>
    </xdr:to>
    <xdr:sp macro="[0]!buscar" textlink="">
      <xdr:nvSpPr>
        <xdr:cNvPr id="4" name="3 Bisel"/>
        <xdr:cNvSpPr/>
      </xdr:nvSpPr>
      <xdr:spPr>
        <a:xfrm>
          <a:off x="4235450" y="2774950"/>
          <a:ext cx="1562100" cy="74295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200" b="1">
              <a:solidFill>
                <a:schemeClr val="tx1"/>
              </a:solidFill>
            </a:rPr>
            <a:t>BUSCAR</a:t>
          </a:r>
        </a:p>
      </xdr:txBody>
    </xdr:sp>
    <xdr:clientData/>
  </xdr:twoCellAnchor>
  <xdr:twoCellAnchor>
    <xdr:from>
      <xdr:col>6</xdr:col>
      <xdr:colOff>6350</xdr:colOff>
      <xdr:row>14</xdr:row>
      <xdr:rowOff>177800</xdr:rowOff>
    </xdr:from>
    <xdr:to>
      <xdr:col>7</xdr:col>
      <xdr:colOff>63500</xdr:colOff>
      <xdr:row>19</xdr:row>
      <xdr:rowOff>0</xdr:rowOff>
    </xdr:to>
    <xdr:sp macro="[0]!REGISTRAR" textlink="">
      <xdr:nvSpPr>
        <xdr:cNvPr id="5" name="4 Bisel"/>
        <xdr:cNvSpPr/>
      </xdr:nvSpPr>
      <xdr:spPr>
        <a:xfrm>
          <a:off x="6877050" y="2755900"/>
          <a:ext cx="1562100" cy="74295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200" b="1">
              <a:solidFill>
                <a:schemeClr val="tx1"/>
              </a:solidFill>
            </a:rPr>
            <a:t>REGISTRAR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23</xdr:row>
      <xdr:rowOff>133350</xdr:rowOff>
    </xdr:from>
    <xdr:to>
      <xdr:col>7</xdr:col>
      <xdr:colOff>711200</xdr:colOff>
      <xdr:row>26</xdr:row>
      <xdr:rowOff>177800</xdr:rowOff>
    </xdr:to>
    <xdr:sp macro="[0]!IRAREGISTRO" textlink="">
      <xdr:nvSpPr>
        <xdr:cNvPr id="3" name="2 Bisel"/>
        <xdr:cNvSpPr/>
      </xdr:nvSpPr>
      <xdr:spPr>
        <a:xfrm>
          <a:off x="12350750" y="4368800"/>
          <a:ext cx="1435100" cy="59690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200" b="1">
              <a:solidFill>
                <a:schemeClr val="tx1"/>
              </a:solidFill>
            </a:rPr>
            <a:t>IR A REGISTRO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DATOS" displayName="DATOS" ref="A1:F22" totalsRowShown="0">
  <autoFilter ref="A1:F22"/>
  <sortState ref="A6:F26">
    <sortCondition ref="B5:B26"/>
  </sortState>
  <tableColumns count="6">
    <tableColumn id="1" name="CC/NIT"/>
    <tableColumn id="2" name="NOMBRE COMPLETO"/>
    <tableColumn id="3" name="DIRECCION"/>
    <tableColumn id="4" name="CIUDAD"/>
    <tableColumn id="5" name="TELEFONO"/>
    <tableColumn id="6" name="CORREO ELECTRONICO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12"/>
  <sheetViews>
    <sheetView workbookViewId="0">
      <selection sqref="A1:M5"/>
    </sheetView>
  </sheetViews>
  <sheetFormatPr baseColWidth="10" defaultRowHeight="14.5" x14ac:dyDescent="0.35"/>
  <cols>
    <col min="3" max="3" width="22" customWidth="1"/>
    <col min="4" max="4" width="21.81640625" customWidth="1"/>
    <col min="6" max="6" width="21.81640625" customWidth="1"/>
    <col min="7" max="7" width="21.54296875" customWidth="1"/>
  </cols>
  <sheetData>
    <row r="1" spans="1:13" x14ac:dyDescent="0.35">
      <c r="A1" s="8" t="s">
        <v>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</row>
    <row r="2" spans="1:13" x14ac:dyDescent="0.3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</row>
    <row r="3" spans="1:13" x14ac:dyDescent="0.3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</row>
    <row r="4" spans="1:13" x14ac:dyDescent="0.3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</row>
    <row r="5" spans="1:13" x14ac:dyDescent="0.3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8" spans="1:13" x14ac:dyDescent="0.35">
      <c r="C8" s="1" t="s">
        <v>1</v>
      </c>
      <c r="D8" s="3"/>
      <c r="E8" s="1"/>
      <c r="F8" s="2" t="s">
        <v>4</v>
      </c>
      <c r="G8" s="3"/>
    </row>
    <row r="9" spans="1:13" x14ac:dyDescent="0.35">
      <c r="C9" s="1"/>
      <c r="D9" s="1"/>
      <c r="E9" s="1"/>
      <c r="F9" s="2"/>
      <c r="G9" s="1"/>
    </row>
    <row r="10" spans="1:13" x14ac:dyDescent="0.35">
      <c r="C10" s="1" t="s">
        <v>2</v>
      </c>
      <c r="D10" s="5"/>
      <c r="E10" s="1"/>
      <c r="F10" s="2" t="s">
        <v>5</v>
      </c>
      <c r="G10" s="3"/>
    </row>
    <row r="11" spans="1:13" x14ac:dyDescent="0.35">
      <c r="C11" s="1"/>
      <c r="D11" s="1"/>
      <c r="E11" s="1"/>
      <c r="F11" s="2"/>
      <c r="G11" s="1"/>
    </row>
    <row r="12" spans="1:13" x14ac:dyDescent="0.35">
      <c r="C12" s="1" t="s">
        <v>3</v>
      </c>
      <c r="D12" s="3"/>
      <c r="E12" s="1"/>
      <c r="F12" s="2" t="s">
        <v>6</v>
      </c>
      <c r="G12" s="4"/>
    </row>
  </sheetData>
  <mergeCells count="1">
    <mergeCell ref="A1:M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7"/>
  <sheetViews>
    <sheetView tabSelected="1" topLeftCell="B6" workbookViewId="0">
      <selection activeCell="E29" sqref="E29"/>
    </sheetView>
  </sheetViews>
  <sheetFormatPr baseColWidth="10" defaultRowHeight="14.5" x14ac:dyDescent="0.35"/>
  <cols>
    <col min="1" max="1" width="28.1796875" customWidth="1"/>
    <col min="2" max="2" width="30" customWidth="1"/>
    <col min="3" max="3" width="32.81640625" customWidth="1"/>
    <col min="4" max="4" width="20.81640625" customWidth="1"/>
    <col min="5" max="5" width="30" customWidth="1"/>
    <col min="6" max="6" width="34.453125" customWidth="1"/>
  </cols>
  <sheetData>
    <row r="1" spans="1:6" x14ac:dyDescent="0.35">
      <c r="A1" t="s">
        <v>1</v>
      </c>
      <c r="B1" t="s">
        <v>4</v>
      </c>
      <c r="C1" t="s">
        <v>2</v>
      </c>
      <c r="D1" t="s">
        <v>5</v>
      </c>
      <c r="E1" t="s">
        <v>3</v>
      </c>
      <c r="F1" t="s">
        <v>6</v>
      </c>
    </row>
    <row r="2" spans="1:6" x14ac:dyDescent="0.35">
      <c r="A2">
        <v>456789</v>
      </c>
      <c r="B2" t="s">
        <v>16</v>
      </c>
      <c r="C2" t="s">
        <v>19</v>
      </c>
      <c r="D2" t="s">
        <v>17</v>
      </c>
      <c r="E2">
        <v>5678905643</v>
      </c>
      <c r="F2" s="6" t="s">
        <v>18</v>
      </c>
    </row>
    <row r="3" spans="1:6" x14ac:dyDescent="0.35">
      <c r="A3">
        <v>786455</v>
      </c>
      <c r="B3" t="s">
        <v>56</v>
      </c>
      <c r="C3" t="s">
        <v>59</v>
      </c>
      <c r="D3" t="s">
        <v>57</v>
      </c>
      <c r="E3">
        <v>512121212</v>
      </c>
      <c r="F3" t="s">
        <v>58</v>
      </c>
    </row>
    <row r="4" spans="1:6" x14ac:dyDescent="0.35">
      <c r="A4">
        <v>999999</v>
      </c>
      <c r="B4" t="s">
        <v>49</v>
      </c>
      <c r="C4" t="s">
        <v>48</v>
      </c>
      <c r="D4" t="s">
        <v>51</v>
      </c>
      <c r="E4">
        <v>5467980712</v>
      </c>
      <c r="F4" t="s">
        <v>50</v>
      </c>
    </row>
    <row r="5" spans="1:6" x14ac:dyDescent="0.35">
      <c r="A5">
        <v>98765</v>
      </c>
      <c r="B5" t="s">
        <v>21</v>
      </c>
      <c r="C5" t="s">
        <v>20</v>
      </c>
      <c r="D5" t="s">
        <v>22</v>
      </c>
      <c r="E5">
        <v>3456234512</v>
      </c>
      <c r="F5" t="s">
        <v>23</v>
      </c>
    </row>
    <row r="6" spans="1:6" x14ac:dyDescent="0.35">
      <c r="A6">
        <v>567309</v>
      </c>
      <c r="B6" t="s">
        <v>24</v>
      </c>
      <c r="C6" t="s">
        <v>27</v>
      </c>
      <c r="D6" t="s">
        <v>25</v>
      </c>
      <c r="E6" s="7">
        <v>5646453456</v>
      </c>
      <c r="F6" t="s">
        <v>26</v>
      </c>
    </row>
    <row r="7" spans="1:6" x14ac:dyDescent="0.35">
      <c r="A7">
        <v>656740</v>
      </c>
      <c r="B7" t="s">
        <v>64</v>
      </c>
      <c r="C7" t="s">
        <v>67</v>
      </c>
      <c r="D7" t="s">
        <v>66</v>
      </c>
      <c r="E7">
        <v>6666666666</v>
      </c>
      <c r="F7" t="s">
        <v>65</v>
      </c>
    </row>
    <row r="8" spans="1:6" x14ac:dyDescent="0.35">
      <c r="A8">
        <v>951928</v>
      </c>
      <c r="B8" t="s">
        <v>33</v>
      </c>
      <c r="C8" t="s">
        <v>32</v>
      </c>
      <c r="D8" t="s">
        <v>34</v>
      </c>
      <c r="E8">
        <v>7364895768</v>
      </c>
      <c r="F8" t="s">
        <v>35</v>
      </c>
    </row>
    <row r="9" spans="1:6" x14ac:dyDescent="0.35">
      <c r="A9">
        <v>678456</v>
      </c>
      <c r="B9" t="s">
        <v>37</v>
      </c>
      <c r="C9" t="s">
        <v>36</v>
      </c>
      <c r="D9" t="s">
        <v>38</v>
      </c>
      <c r="E9">
        <v>7652890712</v>
      </c>
      <c r="F9" t="s">
        <v>39</v>
      </c>
    </row>
    <row r="10" spans="1:6" x14ac:dyDescent="0.35">
      <c r="A10">
        <v>612455</v>
      </c>
      <c r="B10" t="s">
        <v>68</v>
      </c>
      <c r="C10" t="s">
        <v>59</v>
      </c>
      <c r="D10" t="s">
        <v>70</v>
      </c>
      <c r="E10">
        <v>9987654322</v>
      </c>
      <c r="F10" t="s">
        <v>69</v>
      </c>
    </row>
    <row r="11" spans="1:6" x14ac:dyDescent="0.35">
      <c r="A11">
        <v>851925</v>
      </c>
      <c r="B11" t="s">
        <v>79</v>
      </c>
      <c r="C11" t="s">
        <v>82</v>
      </c>
      <c r="D11" t="s">
        <v>80</v>
      </c>
      <c r="E11">
        <v>6754999999</v>
      </c>
      <c r="F11" t="s">
        <v>81</v>
      </c>
    </row>
    <row r="12" spans="1:6" x14ac:dyDescent="0.35">
      <c r="A12">
        <v>786543</v>
      </c>
      <c r="B12" t="s">
        <v>71</v>
      </c>
      <c r="C12" t="s">
        <v>74</v>
      </c>
      <c r="D12" t="s">
        <v>73</v>
      </c>
      <c r="E12">
        <v>9101010101</v>
      </c>
      <c r="F12" t="s">
        <v>72</v>
      </c>
    </row>
    <row r="13" spans="1:6" x14ac:dyDescent="0.35">
      <c r="A13">
        <v>675439</v>
      </c>
      <c r="B13" t="s">
        <v>41</v>
      </c>
      <c r="C13" t="s">
        <v>40</v>
      </c>
      <c r="D13" t="s">
        <v>42</v>
      </c>
      <c r="E13">
        <v>5678932113</v>
      </c>
      <c r="F13" t="s">
        <v>43</v>
      </c>
    </row>
    <row r="14" spans="1:6" x14ac:dyDescent="0.35">
      <c r="A14">
        <v>876598</v>
      </c>
      <c r="B14" t="s">
        <v>75</v>
      </c>
      <c r="C14" t="s">
        <v>78</v>
      </c>
      <c r="D14" t="s">
        <v>77</v>
      </c>
      <c r="E14">
        <v>4444445555</v>
      </c>
      <c r="F14" t="s">
        <v>76</v>
      </c>
    </row>
    <row r="15" spans="1:6" x14ac:dyDescent="0.35">
      <c r="A15">
        <v>879654</v>
      </c>
      <c r="B15" t="s">
        <v>60</v>
      </c>
      <c r="C15" t="s">
        <v>63</v>
      </c>
      <c r="D15" t="s">
        <v>62</v>
      </c>
      <c r="E15">
        <v>8888888888</v>
      </c>
      <c r="F15" t="s">
        <v>61</v>
      </c>
    </row>
    <row r="16" spans="1:6" x14ac:dyDescent="0.35">
      <c r="A16">
        <v>234123</v>
      </c>
      <c r="B16" t="s">
        <v>29</v>
      </c>
      <c r="C16" t="s">
        <v>28</v>
      </c>
      <c r="D16" t="s">
        <v>30</v>
      </c>
      <c r="E16">
        <v>5640912781</v>
      </c>
      <c r="F16" t="s">
        <v>31</v>
      </c>
    </row>
    <row r="17" spans="1:6" x14ac:dyDescent="0.35">
      <c r="A17">
        <v>787654</v>
      </c>
      <c r="B17" t="s">
        <v>53</v>
      </c>
      <c r="C17" t="s">
        <v>52</v>
      </c>
      <c r="D17" t="s">
        <v>54</v>
      </c>
      <c r="E17">
        <v>987654327</v>
      </c>
      <c r="F17" t="s">
        <v>55</v>
      </c>
    </row>
    <row r="18" spans="1:6" x14ac:dyDescent="0.35">
      <c r="A18">
        <v>567567</v>
      </c>
      <c r="B18" t="s">
        <v>84</v>
      </c>
      <c r="C18" t="s">
        <v>83</v>
      </c>
      <c r="D18" t="s">
        <v>86</v>
      </c>
      <c r="E18">
        <v>7678598034</v>
      </c>
      <c r="F18" t="s">
        <v>85</v>
      </c>
    </row>
    <row r="19" spans="1:6" x14ac:dyDescent="0.35">
      <c r="A19">
        <v>890612</v>
      </c>
      <c r="B19" t="s">
        <v>46</v>
      </c>
      <c r="C19" t="s">
        <v>44</v>
      </c>
      <c r="D19" t="s">
        <v>45</v>
      </c>
      <c r="E19">
        <v>5463728888</v>
      </c>
      <c r="F19" t="s">
        <v>47</v>
      </c>
    </row>
    <row r="20" spans="1:6" x14ac:dyDescent="0.35">
      <c r="A20">
        <v>123456</v>
      </c>
      <c r="B20" t="s">
        <v>10</v>
      </c>
      <c r="C20" t="s">
        <v>8</v>
      </c>
      <c r="D20" t="s">
        <v>9</v>
      </c>
      <c r="E20">
        <v>726321</v>
      </c>
      <c r="F20" t="s">
        <v>11</v>
      </c>
    </row>
    <row r="21" spans="1:6" x14ac:dyDescent="0.35">
      <c r="A21">
        <v>54321</v>
      </c>
      <c r="B21" t="s">
        <v>13</v>
      </c>
      <c r="C21" t="s">
        <v>12</v>
      </c>
      <c r="D21" t="s">
        <v>14</v>
      </c>
      <c r="E21">
        <v>55555</v>
      </c>
      <c r="F21" t="s">
        <v>15</v>
      </c>
    </row>
    <row r="24" spans="1:6" x14ac:dyDescent="0.35">
      <c r="A24" s="10" t="s">
        <v>7</v>
      </c>
      <c r="B24" s="11"/>
      <c r="C24" s="11"/>
      <c r="D24" s="11"/>
      <c r="E24" s="11"/>
      <c r="F24" s="11"/>
    </row>
    <row r="25" spans="1:6" x14ac:dyDescent="0.35">
      <c r="A25" s="11"/>
      <c r="B25" s="11"/>
      <c r="C25" s="11"/>
      <c r="D25" s="11"/>
      <c r="E25" s="11"/>
      <c r="F25" s="11"/>
    </row>
    <row r="26" spans="1:6" x14ac:dyDescent="0.35">
      <c r="A26" s="11"/>
      <c r="B26" s="11"/>
      <c r="C26" s="11"/>
      <c r="D26" s="11"/>
      <c r="E26" s="11"/>
      <c r="F26" s="11"/>
    </row>
    <row r="27" spans="1:6" x14ac:dyDescent="0.35">
      <c r="A27" s="11"/>
      <c r="B27" s="11"/>
      <c r="C27" s="11"/>
      <c r="D27" s="11"/>
      <c r="E27" s="11"/>
      <c r="F27" s="11"/>
    </row>
  </sheetData>
  <mergeCells count="1">
    <mergeCell ref="A24:F27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2"/>
  <sheetViews>
    <sheetView workbookViewId="0">
      <selection activeCell="F2" sqref="F2"/>
    </sheetView>
  </sheetViews>
  <sheetFormatPr baseColWidth="10" defaultRowHeight="14.5" x14ac:dyDescent="0.35"/>
  <cols>
    <col min="1" max="1" width="21.7265625" customWidth="1"/>
    <col min="2" max="2" width="21.90625" customWidth="1"/>
    <col min="3" max="3" width="22" customWidth="1"/>
    <col min="4" max="4" width="21.81640625" customWidth="1"/>
    <col min="5" max="6" width="21.7265625" customWidth="1"/>
  </cols>
  <sheetData>
    <row r="1" spans="1:6" x14ac:dyDescent="0.35">
      <c r="A1" s="5" t="s">
        <v>1</v>
      </c>
      <c r="B1" s="5" t="s">
        <v>4</v>
      </c>
      <c r="C1" s="5" t="s">
        <v>2</v>
      </c>
      <c r="D1" s="5" t="s">
        <v>5</v>
      </c>
      <c r="E1" s="5" t="s">
        <v>3</v>
      </c>
      <c r="F1" s="5" t="s">
        <v>6</v>
      </c>
    </row>
    <row r="2" spans="1:6" x14ac:dyDescent="0.35">
      <c r="A2" s="5" t="str">
        <f>IFERROR(VLOOKUP(REGISTRO!$D$8,DATOS[],1,FALSE),"")</f>
        <v/>
      </c>
      <c r="B2" s="5" t="str">
        <f>IFERROR(VLOOKUP(REGISTRO!$D$8,DATOS[],2,FALSE),"")</f>
        <v/>
      </c>
      <c r="C2" s="5" t="str">
        <f>IFERROR(VLOOKUP(REGISTRO!$D$8,DATOS[],3,FALSE),"")</f>
        <v/>
      </c>
      <c r="D2" s="5" t="str">
        <f>IFERROR(VLOOKUP(REGISTRO!$D$8,DATOS[],4,FALSE),"")</f>
        <v/>
      </c>
      <c r="E2" s="5" t="str">
        <f>IFERROR(VLOOKUP(REGISTRO!$D$8,DATOS[],5,FALSE),"")</f>
        <v/>
      </c>
      <c r="F2" s="5" t="str">
        <f>IFERROR(VLOOKUP(REGISTRO!$D$8,DATOS[],6,FALSE),"")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REGISTRO</vt:lpstr>
      <vt:lpstr>BASE DE DATOS</vt:lpstr>
      <vt:lpstr>BUSCAR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Alfredo Arvizu Feregrino</dc:creator>
  <cp:lastModifiedBy>Miguel Alfredo Arvizu Feregrino</cp:lastModifiedBy>
  <dcterms:created xsi:type="dcterms:W3CDTF">2022-10-14T21:51:48Z</dcterms:created>
  <dcterms:modified xsi:type="dcterms:W3CDTF">2022-10-16T17:57:28Z</dcterms:modified>
</cp:coreProperties>
</file>